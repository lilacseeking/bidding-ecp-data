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外部影响因子" sheetId="1" state="visible" r:id="rId1"/>
    <sheet xmlns:r="http://schemas.openxmlformats.org/officeDocument/2006/relationships" name="数据说明" sheetId="2" state="visible" r:id="rId2"/>
  </sheets>
  <definedNames>
    <definedName name="_xlnm._FilterDatabase" localSheetId="0" hidden="1">'外部影响因子'!$A$1:$J$75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  <sz val="11"/>
    </font>
  </fonts>
  <fills count="9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eaf2f8"/>
        <bgColor rgb="00eaf2f8"/>
      </patternFill>
    </fill>
    <fill>
      <patternFill patternType="solid">
        <fgColor rgb="00f9ebea"/>
        <bgColor rgb="00f9ebea"/>
      </patternFill>
    </fill>
    <fill>
      <patternFill patternType="solid">
        <fgColor rgb="00e8f8f5"/>
        <bgColor rgb="00e8f8f5"/>
      </patternFill>
    </fill>
    <fill>
      <patternFill patternType="solid">
        <fgColor rgb="00fef9e7"/>
        <bgColor rgb="00fef9e7"/>
      </patternFill>
    </fill>
    <fill>
      <patternFill patternType="solid">
        <fgColor rgb="00f4ecf7"/>
        <bgColor rgb="00f4ecf7"/>
      </patternFill>
    </fill>
    <fill>
      <patternFill patternType="solid">
        <fgColor rgb="00fdf2e9"/>
        <bgColor rgb="00fdf2e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22" customWidth="1" min="4" max="4"/>
    <col width="22" customWidth="1" min="5" max="5"/>
    <col width="24" customWidth="1" min="6" max="6"/>
    <col width="20" customWidth="1" min="7" max="7"/>
    <col width="20" customWidth="1" min="8" max="8"/>
    <col width="18" customWidth="1" min="9" max="9"/>
    <col width="18" customWidth="1" min="10" max="10"/>
  </cols>
  <sheetData>
    <row r="1">
      <c r="A1" s="1" t="inlineStr">
        <is>
          <t>月份</t>
        </is>
      </c>
      <c r="B1" s="1" t="inlineStr">
        <is>
          <t>STF_sin</t>
        </is>
      </c>
      <c r="C1" s="1" t="inlineStr">
        <is>
          <t>STF_cos</t>
        </is>
      </c>
      <c r="D1" s="1" t="inlineStr">
        <is>
          <t>铜期货月均价(元/吨)</t>
        </is>
      </c>
      <c r="E1" s="1" t="inlineStr">
        <is>
          <t>铝期货月均价(元/吨)</t>
        </is>
      </c>
      <c r="F1" s="1" t="inlineStr">
        <is>
          <t>第二产业用电量(亿kWh)</t>
        </is>
      </c>
      <c r="G1" s="1" t="inlineStr">
        <is>
          <t>工业用电同比增速(%)</t>
        </is>
      </c>
      <c r="H1" s="1" t="inlineStr">
        <is>
          <t>电网基建投资(亿元)</t>
        </is>
      </c>
      <c r="I1" s="1" t="inlineStr">
        <is>
          <t>风电新增装机(MW)</t>
        </is>
      </c>
      <c r="J1" s="1" t="inlineStr">
        <is>
          <t>光伏新增装机(MW)</t>
        </is>
      </c>
    </row>
    <row r="2">
      <c r="A2" s="2" t="inlineStr">
        <is>
          <t>202005</t>
        </is>
      </c>
      <c r="B2" s="3" t="n">
        <v>0.5</v>
      </c>
      <c r="C2" s="3" t="n">
        <v>-0.866025</v>
      </c>
      <c r="D2" s="4" t="n">
        <v>43428.89</v>
      </c>
      <c r="E2" s="4" t="n">
        <v>12754.44</v>
      </c>
      <c r="F2" s="5" t="n">
        <v>1.81</v>
      </c>
      <c r="G2" s="5" t="n">
        <v>-4</v>
      </c>
      <c r="H2" s="6" t="inlineStr">
        <is>
          <t>待采集</t>
        </is>
      </c>
      <c r="I2" s="6" t="inlineStr">
        <is>
          <t>待采集</t>
        </is>
      </c>
      <c r="J2" s="6" t="inlineStr">
        <is>
          <t>待采集</t>
        </is>
      </c>
    </row>
    <row r="3">
      <c r="A3" s="2" t="inlineStr">
        <is>
          <t>202006</t>
        </is>
      </c>
      <c r="B3" s="3" t="n">
        <v>0</v>
      </c>
      <c r="C3" s="3" t="n">
        <v>-1</v>
      </c>
      <c r="D3" s="4" t="n">
        <v>46592.5</v>
      </c>
      <c r="E3" s="4" t="n">
        <v>13553.75</v>
      </c>
      <c r="F3" s="5" t="n">
        <v>2.25</v>
      </c>
      <c r="G3" s="5" t="n">
        <v>-2.5</v>
      </c>
      <c r="H3" s="6" t="inlineStr">
        <is>
          <t>待采集</t>
        </is>
      </c>
      <c r="I3" s="6" t="inlineStr">
        <is>
          <t>待采集</t>
        </is>
      </c>
      <c r="J3" s="6" t="inlineStr">
        <is>
          <t>待采集</t>
        </is>
      </c>
    </row>
    <row r="4">
      <c r="A4" s="2" t="inlineStr">
        <is>
          <t>202007</t>
        </is>
      </c>
      <c r="B4" s="3" t="n">
        <v>-0.5</v>
      </c>
      <c r="C4" s="3" t="n">
        <v>-0.866025</v>
      </c>
      <c r="D4" s="4" t="n">
        <v>51035.22</v>
      </c>
      <c r="E4" s="4" t="n">
        <v>14314.35</v>
      </c>
      <c r="F4" s="5" t="n">
        <v>2.71</v>
      </c>
      <c r="G4" s="5" t="n">
        <v>-2.1</v>
      </c>
      <c r="H4" s="6" t="inlineStr">
        <is>
          <t>待采集</t>
        </is>
      </c>
      <c r="I4" s="6" t="inlineStr">
        <is>
          <t>待采集</t>
        </is>
      </c>
      <c r="J4" s="6" t="inlineStr">
        <is>
          <t>待采集</t>
        </is>
      </c>
    </row>
    <row r="5">
      <c r="A5" s="2" t="inlineStr">
        <is>
          <t>202008</t>
        </is>
      </c>
      <c r="B5" s="3" t="n">
        <v>-0.866025</v>
      </c>
      <c r="C5" s="3" t="n">
        <v>-0.5</v>
      </c>
      <c r="D5" s="4" t="n">
        <v>51176.67</v>
      </c>
      <c r="E5" s="4" t="n">
        <v>14536.19</v>
      </c>
      <c r="F5" s="5" t="n">
        <v>3.19</v>
      </c>
      <c r="G5" s="5" t="n">
        <v>-0.5</v>
      </c>
      <c r="H5" s="6" t="inlineStr">
        <is>
          <t>待采集</t>
        </is>
      </c>
      <c r="I5" s="6" t="inlineStr">
        <is>
          <t>待采集</t>
        </is>
      </c>
      <c r="J5" s="6" t="inlineStr">
        <is>
          <t>待采集</t>
        </is>
      </c>
    </row>
    <row r="6">
      <c r="A6" s="2" t="inlineStr">
        <is>
          <t>202009</t>
        </is>
      </c>
      <c r="B6" s="3" t="n">
        <v>-1</v>
      </c>
      <c r="C6" s="3" t="n">
        <v>-0</v>
      </c>
      <c r="D6" s="4" t="n">
        <v>51741.82</v>
      </c>
      <c r="E6" s="4" t="n">
        <v>14378.64</v>
      </c>
      <c r="F6" s="5" t="n">
        <v>3.6</v>
      </c>
      <c r="G6" s="5" t="n">
        <v>0.5</v>
      </c>
      <c r="H6" s="6" t="inlineStr">
        <is>
          <t>待采集</t>
        </is>
      </c>
      <c r="I6" s="6" t="inlineStr">
        <is>
          <t>待采集</t>
        </is>
      </c>
      <c r="J6" s="6" t="inlineStr">
        <is>
          <t>待采集</t>
        </is>
      </c>
    </row>
    <row r="7">
      <c r="A7" s="2" t="inlineStr">
        <is>
          <t>202010</t>
        </is>
      </c>
      <c r="B7" s="3" t="n">
        <v>-0.866025</v>
      </c>
      <c r="C7" s="3" t="n">
        <v>0.5</v>
      </c>
      <c r="D7" s="4" t="n">
        <v>51576.88</v>
      </c>
      <c r="E7" s="4" t="n">
        <v>14640.31</v>
      </c>
      <c r="F7" s="5" t="n">
        <v>4.03</v>
      </c>
      <c r="G7" s="5" t="n">
        <v>1.2</v>
      </c>
      <c r="H7" s="6" t="inlineStr">
        <is>
          <t>待采集</t>
        </is>
      </c>
      <c r="I7" s="6" t="inlineStr">
        <is>
          <t>待采集</t>
        </is>
      </c>
      <c r="J7" s="6" t="inlineStr">
        <is>
          <t>待采集</t>
        </is>
      </c>
    </row>
    <row r="8">
      <c r="A8" s="2" t="inlineStr">
        <is>
          <t>202011</t>
        </is>
      </c>
      <c r="B8" s="3" t="n">
        <v>-0.5</v>
      </c>
      <c r="C8" s="3" t="n">
        <v>0.866025</v>
      </c>
      <c r="D8" s="4" t="n">
        <v>53085.24</v>
      </c>
      <c r="E8" s="4" t="n">
        <v>15455.71</v>
      </c>
      <c r="F8" s="5" t="n">
        <v>4.5</v>
      </c>
      <c r="G8" s="5" t="n">
        <v>2.1</v>
      </c>
      <c r="H8" s="6" t="inlineStr">
        <is>
          <t>待采集</t>
        </is>
      </c>
      <c r="I8" s="6" t="inlineStr">
        <is>
          <t>待采集</t>
        </is>
      </c>
      <c r="J8" s="6" t="inlineStr">
        <is>
          <t>待采集</t>
        </is>
      </c>
    </row>
    <row r="9">
      <c r="A9" s="2" t="inlineStr">
        <is>
          <t>202012</t>
        </is>
      </c>
      <c r="B9" s="3" t="n">
        <v>-0</v>
      </c>
      <c r="C9" s="3" t="n">
        <v>1</v>
      </c>
      <c r="D9" s="4" t="n">
        <v>57879.57</v>
      </c>
      <c r="E9" s="4" t="n">
        <v>16106.74</v>
      </c>
      <c r="F9" s="5" t="n">
        <v>5.12</v>
      </c>
      <c r="G9" s="5" t="n">
        <v>2.5</v>
      </c>
      <c r="H9" s="6" t="inlineStr">
        <is>
          <t>待采集</t>
        </is>
      </c>
      <c r="I9" s="6" t="inlineStr">
        <is>
          <t>待采集</t>
        </is>
      </c>
      <c r="J9" s="6" t="inlineStr">
        <is>
          <t>待采集</t>
        </is>
      </c>
    </row>
    <row r="10">
      <c r="A10" s="2" t="inlineStr">
        <is>
          <t>202101</t>
        </is>
      </c>
      <c r="B10" s="3" t="n">
        <v>0.5</v>
      </c>
      <c r="C10" s="3" t="n">
        <v>0.866025</v>
      </c>
      <c r="D10" s="4" t="n">
        <v>58776</v>
      </c>
      <c r="E10" s="4" t="n">
        <v>15005.25</v>
      </c>
      <c r="F10" s="5" t="n">
        <v/>
      </c>
      <c r="G10" s="5" t="n">
        <v/>
      </c>
      <c r="H10" s="6" t="inlineStr">
        <is>
          <t>待采集</t>
        </is>
      </c>
      <c r="I10" s="6" t="inlineStr">
        <is>
          <t>待采集</t>
        </is>
      </c>
      <c r="J10" s="6" t="inlineStr">
        <is>
          <t>待采集</t>
        </is>
      </c>
    </row>
    <row r="11">
      <c r="A11" s="2" t="inlineStr">
        <is>
          <t>202102</t>
        </is>
      </c>
      <c r="B11" s="3" t="n">
        <v>0.866025</v>
      </c>
      <c r="C11" s="3" t="n">
        <v>0.5</v>
      </c>
      <c r="D11" s="4" t="n">
        <v>62417.33</v>
      </c>
      <c r="E11" s="4" t="n">
        <v>16103</v>
      </c>
      <c r="F11" s="5" t="n">
        <v>0.8</v>
      </c>
      <c r="G11" s="5" t="n">
        <v>25.8</v>
      </c>
      <c r="H11" s="6" t="inlineStr">
        <is>
          <t>待采集</t>
        </is>
      </c>
      <c r="I11" s="6" t="inlineStr">
        <is>
          <t>待采集</t>
        </is>
      </c>
      <c r="J11" s="6" t="inlineStr">
        <is>
          <t>待采集</t>
        </is>
      </c>
    </row>
    <row r="12">
      <c r="A12" s="2" t="inlineStr">
        <is>
          <t>202103</t>
        </is>
      </c>
      <c r="B12" s="3" t="n">
        <v>1</v>
      </c>
      <c r="C12" s="3" t="n">
        <v>0</v>
      </c>
      <c r="D12" s="4" t="n">
        <v>66516.52</v>
      </c>
      <c r="E12" s="4" t="n">
        <v>17308.91</v>
      </c>
      <c r="F12" s="5" t="n">
        <v>1.26</v>
      </c>
      <c r="G12" s="5" t="n">
        <v>24.1</v>
      </c>
      <c r="H12" s="6" t="inlineStr">
        <is>
          <t>待采集</t>
        </is>
      </c>
      <c r="I12" s="6" t="inlineStr">
        <is>
          <t>待采集</t>
        </is>
      </c>
      <c r="J12" s="6" t="inlineStr">
        <is>
          <t>待采集</t>
        </is>
      </c>
    </row>
    <row r="13">
      <c r="A13" s="2" t="inlineStr">
        <is>
          <t>202104</t>
        </is>
      </c>
      <c r="B13" s="3" t="n">
        <v>0.866025</v>
      </c>
      <c r="C13" s="3" t="n">
        <v>-0.5</v>
      </c>
      <c r="D13" s="4" t="n">
        <v>68546.19</v>
      </c>
      <c r="E13" s="4" t="n">
        <v>18015.95</v>
      </c>
      <c r="F13" s="5" t="n">
        <v>1.71</v>
      </c>
      <c r="G13" s="5" t="n">
        <v>20.7</v>
      </c>
      <c r="H13" s="6" t="inlineStr">
        <is>
          <t>待采集</t>
        </is>
      </c>
      <c r="I13" s="6" t="inlineStr">
        <is>
          <t>待采集</t>
        </is>
      </c>
      <c r="J13" s="6" t="inlineStr">
        <is>
          <t>待采集</t>
        </is>
      </c>
    </row>
    <row r="14">
      <c r="A14" s="2" t="inlineStr">
        <is>
          <t>202105</t>
        </is>
      </c>
      <c r="B14" s="3" t="n">
        <v>0.5</v>
      </c>
      <c r="C14" s="3" t="n">
        <v>-0.866025</v>
      </c>
      <c r="D14" s="4" t="n">
        <v>74162.22</v>
      </c>
      <c r="E14" s="4" t="n">
        <v>19210</v>
      </c>
      <c r="F14" s="5" t="n">
        <v>2.18</v>
      </c>
      <c r="G14" s="5" t="n">
        <v>18.6</v>
      </c>
      <c r="H14" s="6" t="inlineStr">
        <is>
          <t>待采集</t>
        </is>
      </c>
      <c r="I14" s="6" t="inlineStr">
        <is>
          <t>待采集</t>
        </is>
      </c>
      <c r="J14" s="6" t="inlineStr">
        <is>
          <t>待采集</t>
        </is>
      </c>
    </row>
    <row r="15">
      <c r="A15" s="2" t="inlineStr">
        <is>
          <t>202106</t>
        </is>
      </c>
      <c r="B15" s="3" t="n">
        <v>0</v>
      </c>
      <c r="C15" s="3" t="n">
        <v>-1</v>
      </c>
      <c r="D15" s="4" t="n">
        <v>69924.75999999999</v>
      </c>
      <c r="E15" s="4" t="n">
        <v>18630</v>
      </c>
      <c r="F15" s="5" t="n">
        <v>2.66</v>
      </c>
      <c r="G15" s="5" t="n">
        <v>16.6</v>
      </c>
      <c r="H15" s="6" t="inlineStr">
        <is>
          <t>待采集</t>
        </is>
      </c>
      <c r="I15" s="6" t="inlineStr">
        <is>
          <t>待采集</t>
        </is>
      </c>
      <c r="J15" s="6" t="inlineStr">
        <is>
          <t>待采集</t>
        </is>
      </c>
    </row>
    <row r="16">
      <c r="A16" s="2" t="inlineStr">
        <is>
          <t>202107</t>
        </is>
      </c>
      <c r="B16" s="3" t="n">
        <v>-0.5</v>
      </c>
      <c r="C16" s="3" t="n">
        <v>-0.866025</v>
      </c>
      <c r="D16" s="4" t="n">
        <v>69520</v>
      </c>
      <c r="E16" s="4" t="n">
        <v>19228.86</v>
      </c>
      <c r="F16" s="5" t="n">
        <v>3.17</v>
      </c>
      <c r="G16" s="5" t="n">
        <v>15.3</v>
      </c>
      <c r="H16" s="6" t="inlineStr">
        <is>
          <t>待采集</t>
        </is>
      </c>
      <c r="I16" s="6" t="inlineStr">
        <is>
          <t>待采集</t>
        </is>
      </c>
      <c r="J16" s="6" t="inlineStr">
        <is>
          <t>待采集</t>
        </is>
      </c>
    </row>
    <row r="17">
      <c r="A17" s="2" t="inlineStr">
        <is>
          <t>202108</t>
        </is>
      </c>
      <c r="B17" s="3" t="n">
        <v>-0.866025</v>
      </c>
      <c r="C17" s="3" t="n">
        <v>-0.5</v>
      </c>
      <c r="D17" s="4" t="n">
        <v>69367.27</v>
      </c>
      <c r="E17" s="4" t="n">
        <v>20267.05</v>
      </c>
      <c r="F17" s="5" t="n">
        <v>3.65</v>
      </c>
      <c r="G17" s="5" t="n">
        <v>13.1</v>
      </c>
      <c r="H17" s="6" t="inlineStr">
        <is>
          <t>待采集</t>
        </is>
      </c>
      <c r="I17" s="6" t="inlineStr">
        <is>
          <t>待采集</t>
        </is>
      </c>
      <c r="J17" s="6" t="inlineStr">
        <is>
          <t>待采集</t>
        </is>
      </c>
    </row>
    <row r="18">
      <c r="A18" s="2" t="inlineStr">
        <is>
          <t>202109</t>
        </is>
      </c>
      <c r="B18" s="3" t="n">
        <v>-1</v>
      </c>
      <c r="C18" s="3" t="n">
        <v>-0</v>
      </c>
      <c r="D18" s="4" t="n">
        <v>69263.5</v>
      </c>
      <c r="E18" s="4" t="n">
        <v>22416.5</v>
      </c>
      <c r="F18" s="5" t="n">
        <v>4.1</v>
      </c>
      <c r="G18" s="5" t="n">
        <v>12.3</v>
      </c>
      <c r="H18" s="6" t="inlineStr">
        <is>
          <t>待采集</t>
        </is>
      </c>
      <c r="I18" s="6" t="inlineStr">
        <is>
          <t>待采集</t>
        </is>
      </c>
      <c r="J18" s="6" t="inlineStr">
        <is>
          <t>待采集</t>
        </is>
      </c>
    </row>
    <row r="19">
      <c r="A19" s="2" t="inlineStr">
        <is>
          <t>202110</t>
        </is>
      </c>
      <c r="B19" s="3" t="n">
        <v>-0.866025</v>
      </c>
      <c r="C19" s="3" t="n">
        <v>0.5</v>
      </c>
      <c r="D19" s="4" t="n">
        <v>72015</v>
      </c>
      <c r="E19" s="4" t="n">
        <v>22505.94</v>
      </c>
      <c r="F19" s="5" t="n">
        <v>4.55</v>
      </c>
      <c r="G19" s="5" t="n">
        <v>11.3</v>
      </c>
      <c r="H19" s="6" t="inlineStr">
        <is>
          <t>待采集</t>
        </is>
      </c>
      <c r="I19" s="6" t="inlineStr">
        <is>
          <t>待采集</t>
        </is>
      </c>
      <c r="J19" s="6" t="inlineStr">
        <is>
          <t>待采集</t>
        </is>
      </c>
    </row>
    <row r="20">
      <c r="A20" s="2" t="inlineStr">
        <is>
          <t>202111</t>
        </is>
      </c>
      <c r="B20" s="3" t="n">
        <v>-0.5</v>
      </c>
      <c r="C20" s="3" t="n">
        <v>0.866025</v>
      </c>
      <c r="D20" s="4" t="n">
        <v>70377.73</v>
      </c>
      <c r="E20" s="4" t="n">
        <v>19215.68</v>
      </c>
      <c r="F20" s="5" t="n">
        <v>5.03</v>
      </c>
      <c r="G20" s="5" t="n">
        <v>10.2</v>
      </c>
      <c r="H20" s="6" t="inlineStr">
        <is>
          <t>待采集</t>
        </is>
      </c>
      <c r="I20" s="6" t="inlineStr">
        <is>
          <t>待采集</t>
        </is>
      </c>
      <c r="J20" s="6" t="inlineStr">
        <is>
          <t>待采集</t>
        </is>
      </c>
    </row>
    <row r="21">
      <c r="A21" s="2" t="inlineStr">
        <is>
          <t>202112</t>
        </is>
      </c>
      <c r="B21" s="3" t="n">
        <v>-0</v>
      </c>
      <c r="C21" s="3" t="n">
        <v>1</v>
      </c>
      <c r="D21" s="4" t="n">
        <v>69457.39</v>
      </c>
      <c r="E21" s="4" t="n">
        <v>19444.13</v>
      </c>
      <c r="F21" s="5" t="n">
        <v>5.61</v>
      </c>
      <c r="G21" s="5" t="n">
        <v>9.1</v>
      </c>
      <c r="H21" s="6" t="inlineStr">
        <is>
          <t>待采集</t>
        </is>
      </c>
      <c r="I21" s="6" t="inlineStr">
        <is>
          <t>待采集</t>
        </is>
      </c>
      <c r="J21" s="6" t="inlineStr">
        <is>
          <t>待采集</t>
        </is>
      </c>
    </row>
    <row r="22">
      <c r="A22" s="2" t="inlineStr">
        <is>
          <t>202201</t>
        </is>
      </c>
      <c r="B22" s="3" t="n">
        <v>0.5</v>
      </c>
      <c r="C22" s="3" t="n">
        <v>0.866025</v>
      </c>
      <c r="D22" s="4" t="n">
        <v>70317.37</v>
      </c>
      <c r="E22" s="4" t="n">
        <v>21222.11</v>
      </c>
      <c r="F22" s="5" t="n">
        <v/>
      </c>
      <c r="G22" s="5" t="n">
        <v/>
      </c>
      <c r="H22" s="6" t="inlineStr">
        <is>
          <t>待采集</t>
        </is>
      </c>
      <c r="I22" s="6" t="inlineStr">
        <is>
          <t>待采集</t>
        </is>
      </c>
      <c r="J22" s="6" t="inlineStr">
        <is>
          <t>待采集</t>
        </is>
      </c>
    </row>
    <row r="23">
      <c r="A23" s="2" t="inlineStr">
        <is>
          <t>202202</t>
        </is>
      </c>
      <c r="B23" s="3" t="n">
        <v>0.866025</v>
      </c>
      <c r="C23" s="3" t="n">
        <v>0.5</v>
      </c>
      <c r="D23" s="4" t="n">
        <v>71212.5</v>
      </c>
      <c r="E23" s="4" t="n">
        <v>22743.12</v>
      </c>
      <c r="F23" s="5" t="n">
        <v>0.84</v>
      </c>
      <c r="G23" s="5" t="n">
        <v>3.4</v>
      </c>
      <c r="H23" s="6" t="inlineStr">
        <is>
          <t>待采集</t>
        </is>
      </c>
      <c r="I23" s="6" t="inlineStr">
        <is>
          <t>待采集</t>
        </is>
      </c>
      <c r="J23" s="6" t="inlineStr">
        <is>
          <t>待采集</t>
        </is>
      </c>
    </row>
    <row r="24">
      <c r="A24" s="2" t="inlineStr">
        <is>
          <t>202203</t>
        </is>
      </c>
      <c r="B24" s="3" t="n">
        <v>1</v>
      </c>
      <c r="C24" s="3" t="n">
        <v>0</v>
      </c>
      <c r="D24" s="4" t="n">
        <v>72823.03999999999</v>
      </c>
      <c r="E24" s="4" t="n">
        <v>22750.65</v>
      </c>
      <c r="F24" s="5" t="n">
        <v>1.32</v>
      </c>
      <c r="G24" s="5" t="n">
        <v>3</v>
      </c>
      <c r="H24" s="6" t="inlineStr">
        <is>
          <t>待采集</t>
        </is>
      </c>
      <c r="I24" s="6" t="inlineStr">
        <is>
          <t>待采集</t>
        </is>
      </c>
      <c r="J24" s="6" t="inlineStr">
        <is>
          <t>待采集</t>
        </is>
      </c>
    </row>
    <row r="25">
      <c r="A25" s="2" t="inlineStr">
        <is>
          <t>202204</t>
        </is>
      </c>
      <c r="B25" s="3" t="n">
        <v>0.866025</v>
      </c>
      <c r="C25" s="3" t="n">
        <v>-0.5</v>
      </c>
      <c r="D25" s="4" t="n">
        <v>73933.67999999999</v>
      </c>
      <c r="E25" s="4" t="n">
        <v>21509.74</v>
      </c>
      <c r="F25" s="5" t="n">
        <v>1.77</v>
      </c>
      <c r="G25" s="5" t="n">
        <v>1.9</v>
      </c>
      <c r="H25" s="6" t="inlineStr">
        <is>
          <t>待采集</t>
        </is>
      </c>
      <c r="I25" s="6" t="inlineStr">
        <is>
          <t>待采集</t>
        </is>
      </c>
      <c r="J25" s="6" t="inlineStr">
        <is>
          <t>待采集</t>
        </is>
      </c>
    </row>
    <row r="26">
      <c r="A26" s="2" t="inlineStr">
        <is>
          <t>202205</t>
        </is>
      </c>
      <c r="B26" s="3" t="n">
        <v>0.5</v>
      </c>
      <c r="C26" s="3" t="n">
        <v>-0.866025</v>
      </c>
      <c r="D26" s="4" t="n">
        <v>71684.21000000001</v>
      </c>
      <c r="E26" s="4" t="n">
        <v>20422.63</v>
      </c>
      <c r="F26" s="5" t="n">
        <v>2.25</v>
      </c>
      <c r="G26" s="5" t="n">
        <v>1.4</v>
      </c>
      <c r="H26" s="6" t="inlineStr">
        <is>
          <t>待采集</t>
        </is>
      </c>
      <c r="I26" s="6" t="inlineStr">
        <is>
          <t>待采集</t>
        </is>
      </c>
      <c r="J26" s="6" t="inlineStr">
        <is>
          <t>待采集</t>
        </is>
      </c>
    </row>
    <row r="27">
      <c r="A27" s="2" t="inlineStr">
        <is>
          <t>202206</t>
        </is>
      </c>
      <c r="B27" s="3" t="n">
        <v>0</v>
      </c>
      <c r="C27" s="3" t="n">
        <v>-1</v>
      </c>
      <c r="D27" s="4" t="n">
        <v>69058.57000000001</v>
      </c>
      <c r="E27" s="4" t="n">
        <v>19930.71</v>
      </c>
      <c r="F27" s="5" t="n">
        <v>2.74</v>
      </c>
      <c r="G27" s="5" t="n">
        <v>1.3</v>
      </c>
      <c r="H27" s="6" t="inlineStr">
        <is>
          <t>待采集</t>
        </is>
      </c>
      <c r="I27" s="6" t="inlineStr">
        <is>
          <t>待采集</t>
        </is>
      </c>
      <c r="J27" s="6" t="inlineStr">
        <is>
          <t>待采集</t>
        </is>
      </c>
    </row>
    <row r="28">
      <c r="A28" s="2" t="inlineStr">
        <is>
          <t>202207</t>
        </is>
      </c>
      <c r="B28" s="3" t="n">
        <v>-0.5</v>
      </c>
      <c r="C28" s="3" t="n">
        <v>-0.866025</v>
      </c>
      <c r="D28" s="4" t="n">
        <v>57873.33</v>
      </c>
      <c r="E28" s="4" t="n">
        <v>18086.9</v>
      </c>
      <c r="F28" s="5" t="n">
        <v>3.26</v>
      </c>
      <c r="G28" s="5" t="n">
        <v>1.1</v>
      </c>
      <c r="H28" s="6" t="inlineStr">
        <is>
          <t>待采集</t>
        </is>
      </c>
      <c r="I28" s="6" t="inlineStr">
        <is>
          <t>待采集</t>
        </is>
      </c>
      <c r="J28" s="6" t="inlineStr">
        <is>
          <t>待采集</t>
        </is>
      </c>
    </row>
    <row r="29">
      <c r="A29" s="2" t="inlineStr">
        <is>
          <t>202208</t>
        </is>
      </c>
      <c r="B29" s="3" t="n">
        <v>-0.866025</v>
      </c>
      <c r="C29" s="3" t="n">
        <v>-0.5</v>
      </c>
      <c r="D29" s="4" t="n">
        <v>61733.91</v>
      </c>
      <c r="E29" s="4" t="n">
        <v>18502.61</v>
      </c>
      <c r="F29" s="5" t="n">
        <v>3.77</v>
      </c>
      <c r="G29" s="5" t="n">
        <v>1.4</v>
      </c>
      <c r="H29" s="6" t="inlineStr">
        <is>
          <t>待采集</t>
        </is>
      </c>
      <c r="I29" s="6" t="inlineStr">
        <is>
          <t>待采集</t>
        </is>
      </c>
      <c r="J29" s="6" t="inlineStr">
        <is>
          <t>待采集</t>
        </is>
      </c>
    </row>
    <row r="30">
      <c r="A30" s="2" t="inlineStr">
        <is>
          <t>202209</t>
        </is>
      </c>
      <c r="B30" s="3" t="n">
        <v>-1</v>
      </c>
      <c r="C30" s="3" t="n">
        <v>-0</v>
      </c>
      <c r="D30" s="4" t="n">
        <v>61584.76</v>
      </c>
      <c r="E30" s="4" t="n">
        <v>18455</v>
      </c>
      <c r="F30" s="5" t="n">
        <v>4.24</v>
      </c>
      <c r="G30" s="5" t="n">
        <v>1.6</v>
      </c>
      <c r="H30" s="6" t="inlineStr">
        <is>
          <t>待采集</t>
        </is>
      </c>
      <c r="I30" s="6" t="inlineStr">
        <is>
          <t>待采集</t>
        </is>
      </c>
      <c r="J30" s="6" t="inlineStr">
        <is>
          <t>待采集</t>
        </is>
      </c>
    </row>
    <row r="31">
      <c r="A31" s="2" t="inlineStr">
        <is>
          <t>202210</t>
        </is>
      </c>
      <c r="B31" s="3" t="n">
        <v>-0.866025</v>
      </c>
      <c r="C31" s="3" t="n">
        <v>0.5</v>
      </c>
      <c r="D31" s="4" t="n">
        <v>62705</v>
      </c>
      <c r="E31" s="4" t="n">
        <v>18410.62</v>
      </c>
      <c r="F31" s="5" t="n">
        <v>4.71</v>
      </c>
      <c r="G31" s="5" t="n">
        <v>1.7</v>
      </c>
      <c r="H31" s="6" t="inlineStr">
        <is>
          <t>待采集</t>
        </is>
      </c>
      <c r="I31" s="6" t="inlineStr">
        <is>
          <t>待采集</t>
        </is>
      </c>
      <c r="J31" s="6" t="inlineStr">
        <is>
          <t>待采集</t>
        </is>
      </c>
    </row>
    <row r="32">
      <c r="A32" s="2" t="inlineStr">
        <is>
          <t>202211</t>
        </is>
      </c>
      <c r="B32" s="3" t="n">
        <v>-0.5</v>
      </c>
      <c r="C32" s="3" t="n">
        <v>0.866025</v>
      </c>
      <c r="D32" s="4" t="n">
        <v>65393.18</v>
      </c>
      <c r="E32" s="4" t="n">
        <v>18679.55</v>
      </c>
      <c r="F32" s="5" t="n">
        <v>5.19</v>
      </c>
      <c r="G32" s="5" t="n">
        <v>1.5</v>
      </c>
      <c r="H32" s="6" t="inlineStr">
        <is>
          <t>待采集</t>
        </is>
      </c>
      <c r="I32" s="6" t="inlineStr">
        <is>
          <t>待采集</t>
        </is>
      </c>
      <c r="J32" s="6" t="inlineStr">
        <is>
          <t>待采集</t>
        </is>
      </c>
    </row>
    <row r="33">
      <c r="A33" s="2" t="inlineStr">
        <is>
          <t>202212</t>
        </is>
      </c>
      <c r="B33" s="3" t="n">
        <v>-0</v>
      </c>
      <c r="C33" s="3" t="n">
        <v>1</v>
      </c>
      <c r="D33" s="4" t="n">
        <v>65987.27</v>
      </c>
      <c r="E33" s="4" t="n">
        <v>18884.32</v>
      </c>
      <c r="F33" s="5" t="n">
        <v>5.7</v>
      </c>
      <c r="G33" s="5" t="n">
        <v>1.2</v>
      </c>
      <c r="H33" s="6" t="inlineStr">
        <is>
          <t>待采集</t>
        </is>
      </c>
      <c r="I33" s="6" t="inlineStr">
        <is>
          <t>待采集</t>
        </is>
      </c>
      <c r="J33" s="6" t="inlineStr">
        <is>
          <t>待采集</t>
        </is>
      </c>
    </row>
    <row r="34">
      <c r="A34" s="2" t="inlineStr">
        <is>
          <t>202301</t>
        </is>
      </c>
      <c r="B34" s="3" t="n">
        <v>0.5</v>
      </c>
      <c r="C34" s="3" t="n">
        <v>0.866025</v>
      </c>
      <c r="D34" s="4" t="n">
        <v>67741.25</v>
      </c>
      <c r="E34" s="4" t="n">
        <v>18477.19</v>
      </c>
      <c r="F34" s="5" t="n">
        <v/>
      </c>
      <c r="G34" s="5" t="n">
        <v/>
      </c>
      <c r="H34" s="6" t="inlineStr">
        <is>
          <t>待采集</t>
        </is>
      </c>
      <c r="I34" s="6" t="inlineStr">
        <is>
          <t>待采集</t>
        </is>
      </c>
      <c r="J34" s="6" t="inlineStr">
        <is>
          <t>待采集</t>
        </is>
      </c>
    </row>
    <row r="35">
      <c r="A35" s="2" t="inlineStr">
        <is>
          <t>202302</t>
        </is>
      </c>
      <c r="B35" s="3" t="n">
        <v>0.866025</v>
      </c>
      <c r="C35" s="3" t="n">
        <v>0.5</v>
      </c>
      <c r="D35" s="4" t="n">
        <v>68968.5</v>
      </c>
      <c r="E35" s="4" t="n">
        <v>18758.75</v>
      </c>
      <c r="F35" s="5" t="n">
        <v>0.87</v>
      </c>
      <c r="G35" s="5" t="n">
        <v>2.9</v>
      </c>
      <c r="H35" s="6" t="inlineStr">
        <is>
          <t>待采集</t>
        </is>
      </c>
      <c r="I35" s="6" t="inlineStr">
        <is>
          <t>待采集</t>
        </is>
      </c>
      <c r="J35" s="6" t="inlineStr">
        <is>
          <t>待采集</t>
        </is>
      </c>
    </row>
    <row r="36">
      <c r="A36" s="2" t="inlineStr">
        <is>
          <t>202303</t>
        </is>
      </c>
      <c r="B36" s="3" t="n">
        <v>1</v>
      </c>
      <c r="C36" s="3" t="n">
        <v>0</v>
      </c>
      <c r="D36" s="4" t="n">
        <v>68823.91</v>
      </c>
      <c r="E36" s="4" t="n">
        <v>18450.43</v>
      </c>
      <c r="F36" s="5" t="n">
        <v>1.38</v>
      </c>
      <c r="G36" s="5" t="n">
        <v>4.2</v>
      </c>
      <c r="H36" s="6" t="inlineStr">
        <is>
          <t>待采集</t>
        </is>
      </c>
      <c r="I36" s="6" t="inlineStr">
        <is>
          <t>待采集</t>
        </is>
      </c>
      <c r="J36" s="6" t="inlineStr">
        <is>
          <t>待采集</t>
        </is>
      </c>
    </row>
    <row r="37">
      <c r="A37" s="2" t="inlineStr">
        <is>
          <t>202304</t>
        </is>
      </c>
      <c r="B37" s="3" t="n">
        <v>0.866025</v>
      </c>
      <c r="C37" s="3" t="n">
        <v>-0.5</v>
      </c>
      <c r="D37" s="4" t="n">
        <v>68777.37</v>
      </c>
      <c r="E37" s="4" t="n">
        <v>18708.68</v>
      </c>
      <c r="F37" s="5" t="n">
        <v>1.86</v>
      </c>
      <c r="G37" s="5" t="n">
        <v>5</v>
      </c>
      <c r="H37" s="6" t="inlineStr">
        <is>
          <t>待采集</t>
        </is>
      </c>
      <c r="I37" s="6" t="inlineStr">
        <is>
          <t>待采集</t>
        </is>
      </c>
      <c r="J37" s="6" t="inlineStr">
        <is>
          <t>待采集</t>
        </is>
      </c>
    </row>
    <row r="38">
      <c r="A38" s="2" t="inlineStr">
        <is>
          <t>202305</t>
        </is>
      </c>
      <c r="B38" s="3" t="n">
        <v>0.5</v>
      </c>
      <c r="C38" s="3" t="n">
        <v>-0.866025</v>
      </c>
      <c r="D38" s="4" t="n">
        <v>65336</v>
      </c>
      <c r="E38" s="4" t="n">
        <v>18127.5</v>
      </c>
      <c r="F38" s="5" t="n">
        <v>2.36</v>
      </c>
      <c r="G38" s="5" t="n">
        <v>4.9</v>
      </c>
      <c r="H38" s="6" t="inlineStr">
        <is>
          <t>待采集</t>
        </is>
      </c>
      <c r="I38" s="6" t="inlineStr">
        <is>
          <t>待采集</t>
        </is>
      </c>
      <c r="J38" s="6" t="inlineStr">
        <is>
          <t>待采集</t>
        </is>
      </c>
    </row>
    <row r="39">
      <c r="A39" s="2" t="inlineStr">
        <is>
          <t>202306</t>
        </is>
      </c>
      <c r="B39" s="3" t="n">
        <v>0</v>
      </c>
      <c r="C39" s="3" t="n">
        <v>-1</v>
      </c>
      <c r="D39" s="4" t="n">
        <v>67398</v>
      </c>
      <c r="E39" s="4" t="n">
        <v>18279.75</v>
      </c>
      <c r="F39" s="5" t="n">
        <v>2.87</v>
      </c>
      <c r="G39" s="5" t="n">
        <v>4.4</v>
      </c>
      <c r="H39" s="6" t="inlineStr">
        <is>
          <t>待采集</t>
        </is>
      </c>
      <c r="I39" s="6" t="inlineStr">
        <is>
          <t>待采集</t>
        </is>
      </c>
      <c r="J39" s="6" t="inlineStr">
        <is>
          <t>待采集</t>
        </is>
      </c>
    </row>
    <row r="40">
      <c r="A40" s="2" t="inlineStr">
        <is>
          <t>202307</t>
        </is>
      </c>
      <c r="B40" s="3" t="n">
        <v>-0.5</v>
      </c>
      <c r="C40" s="3" t="n">
        <v>-0.866025</v>
      </c>
      <c r="D40" s="4" t="n">
        <v>68494.28999999999</v>
      </c>
      <c r="E40" s="4" t="n">
        <v>18190.48</v>
      </c>
      <c r="F40" s="5" t="n">
        <v>3.41</v>
      </c>
      <c r="G40" s="5" t="n">
        <v>4.6</v>
      </c>
      <c r="H40" s="6" t="inlineStr">
        <is>
          <t>待采集</t>
        </is>
      </c>
      <c r="I40" s="6" t="inlineStr">
        <is>
          <t>待采集</t>
        </is>
      </c>
      <c r="J40" s="6" t="inlineStr">
        <is>
          <t>待采集</t>
        </is>
      </c>
    </row>
    <row r="41">
      <c r="A41" s="2" t="inlineStr">
        <is>
          <t>202308</t>
        </is>
      </c>
      <c r="B41" s="3" t="n">
        <v>-0.866025</v>
      </c>
      <c r="C41" s="3" t="n">
        <v>-0.5</v>
      </c>
      <c r="D41" s="4" t="n">
        <v>68798.7</v>
      </c>
      <c r="E41" s="4" t="n">
        <v>18546.09</v>
      </c>
      <c r="F41" s="5" t="n">
        <v>3.95</v>
      </c>
      <c r="G41" s="5" t="n">
        <v>5</v>
      </c>
      <c r="H41" s="6" t="inlineStr">
        <is>
          <t>待采集</t>
        </is>
      </c>
      <c r="I41" s="6" t="inlineStr">
        <is>
          <t>待采集</t>
        </is>
      </c>
      <c r="J41" s="6" t="inlineStr">
        <is>
          <t>待采集</t>
        </is>
      </c>
    </row>
    <row r="42">
      <c r="A42" s="2" t="inlineStr">
        <is>
          <t>202309</t>
        </is>
      </c>
      <c r="B42" s="3" t="n">
        <v>-1</v>
      </c>
      <c r="C42" s="3" t="n">
        <v>-0</v>
      </c>
      <c r="D42" s="4" t="n">
        <v>68754.5</v>
      </c>
      <c r="E42" s="4" t="n">
        <v>19251.75</v>
      </c>
      <c r="F42" s="5" t="n">
        <v>4.47</v>
      </c>
      <c r="G42" s="5" t="n">
        <v>5.5</v>
      </c>
      <c r="H42" s="6" t="inlineStr">
        <is>
          <t>待采集</t>
        </is>
      </c>
      <c r="I42" s="6" t="inlineStr">
        <is>
          <t>待采集</t>
        </is>
      </c>
      <c r="J42" s="6" t="inlineStr">
        <is>
          <t>待采集</t>
        </is>
      </c>
    </row>
    <row r="43">
      <c r="A43" s="2" t="inlineStr">
        <is>
          <t>202310</t>
        </is>
      </c>
      <c r="B43" s="3" t="n">
        <v>-0.866025</v>
      </c>
      <c r="C43" s="3" t="n">
        <v>0.5</v>
      </c>
      <c r="D43" s="4" t="n">
        <v>66655.88</v>
      </c>
      <c r="E43" s="4" t="n">
        <v>19002.94</v>
      </c>
      <c r="F43" s="5" t="n">
        <v>4.99</v>
      </c>
      <c r="G43" s="5" t="n">
        <v>5.8</v>
      </c>
      <c r="H43" s="6" t="inlineStr">
        <is>
          <t>待采集</t>
        </is>
      </c>
      <c r="I43" s="6" t="inlineStr">
        <is>
          <t>待采集</t>
        </is>
      </c>
      <c r="J43" s="6" t="inlineStr">
        <is>
          <t>待采集</t>
        </is>
      </c>
    </row>
    <row r="44">
      <c r="A44" s="2" t="inlineStr">
        <is>
          <t>202311</t>
        </is>
      </c>
      <c r="B44" s="3" t="n">
        <v>-0.5</v>
      </c>
      <c r="C44" s="3" t="n">
        <v>0.866025</v>
      </c>
      <c r="D44" s="4" t="n">
        <v>67709.55</v>
      </c>
      <c r="E44" s="4" t="n">
        <v>18962.5</v>
      </c>
      <c r="F44" s="5" t="n">
        <v>5.52</v>
      </c>
      <c r="G44" s="5" t="n">
        <v>6.1</v>
      </c>
      <c r="H44" s="6" t="inlineStr">
        <is>
          <t>待采集</t>
        </is>
      </c>
      <c r="I44" s="6" t="inlineStr">
        <is>
          <t>待采集</t>
        </is>
      </c>
      <c r="J44" s="6" t="inlineStr">
        <is>
          <t>待采集</t>
        </is>
      </c>
    </row>
    <row r="45">
      <c r="A45" s="2" t="inlineStr">
        <is>
          <t>202312</t>
        </is>
      </c>
      <c r="B45" s="3" t="n">
        <v>-0</v>
      </c>
      <c r="C45" s="3" t="n">
        <v>1</v>
      </c>
      <c r="D45" s="4" t="n">
        <v>68551.89999999999</v>
      </c>
      <c r="E45" s="4" t="n">
        <v>18822.62</v>
      </c>
      <c r="F45" s="5" t="n">
        <v>6.07</v>
      </c>
      <c r="G45" s="5" t="n">
        <v>6.5</v>
      </c>
      <c r="H45" s="6" t="inlineStr">
        <is>
          <t>待采集</t>
        </is>
      </c>
      <c r="I45" s="6" t="inlineStr">
        <is>
          <t>待采集</t>
        </is>
      </c>
      <c r="J45" s="6" t="inlineStr">
        <is>
          <t>待采集</t>
        </is>
      </c>
    </row>
    <row r="46">
      <c r="A46" s="2" t="inlineStr">
        <is>
          <t>202401</t>
        </is>
      </c>
      <c r="B46" s="3" t="n">
        <v>0.5</v>
      </c>
      <c r="C46" s="3" t="n">
        <v>0.866025</v>
      </c>
      <c r="D46" s="4" t="n">
        <v>68326.36</v>
      </c>
      <c r="E46" s="4" t="n">
        <v>18997.27</v>
      </c>
      <c r="F46" s="5" t="n">
        <v/>
      </c>
      <c r="G46" s="5" t="n">
        <v/>
      </c>
      <c r="H46" s="6" t="inlineStr">
        <is>
          <t>待采集</t>
        </is>
      </c>
      <c r="I46" s="6" t="inlineStr">
        <is>
          <t>待采集</t>
        </is>
      </c>
      <c r="J46" s="6" t="inlineStr">
        <is>
          <t>待采集</t>
        </is>
      </c>
    </row>
    <row r="47">
      <c r="A47" s="2" t="inlineStr">
        <is>
          <t>202402</t>
        </is>
      </c>
      <c r="B47" s="3" t="n">
        <v>0.866025</v>
      </c>
      <c r="C47" s="3" t="n">
        <v>0.5</v>
      </c>
      <c r="D47" s="4" t="n">
        <v>68694.67</v>
      </c>
      <c r="E47" s="4" t="n">
        <v>18838.67</v>
      </c>
      <c r="F47" s="5" t="n">
        <v>0.95</v>
      </c>
      <c r="G47" s="5" t="n">
        <v>9.699999999999999</v>
      </c>
      <c r="H47" s="6" t="inlineStr">
        <is>
          <t>待采集</t>
        </is>
      </c>
      <c r="I47" s="6" t="inlineStr">
        <is>
          <t>待采集</t>
        </is>
      </c>
      <c r="J47" s="6" t="inlineStr">
        <is>
          <t>待采集</t>
        </is>
      </c>
    </row>
    <row r="48">
      <c r="A48" s="2" t="inlineStr">
        <is>
          <t>202403</t>
        </is>
      </c>
      <c r="B48" s="3" t="n">
        <v>1</v>
      </c>
      <c r="C48" s="3" t="n">
        <v>0</v>
      </c>
      <c r="D48" s="4" t="n">
        <v>71216.19</v>
      </c>
      <c r="E48" s="4" t="n">
        <v>19270.71</v>
      </c>
      <c r="F48" s="5" t="n">
        <v>1.51</v>
      </c>
      <c r="G48" s="5" t="n">
        <v>8</v>
      </c>
      <c r="H48" s="6" t="inlineStr">
        <is>
          <t>待采集</t>
        </is>
      </c>
      <c r="I48" s="6" t="inlineStr">
        <is>
          <t>待采集</t>
        </is>
      </c>
      <c r="J48" s="6" t="inlineStr">
        <is>
          <t>待采集</t>
        </is>
      </c>
    </row>
    <row r="49">
      <c r="A49" s="2" t="inlineStr">
        <is>
          <t>202404</t>
        </is>
      </c>
      <c r="B49" s="3" t="n">
        <v>0.866025</v>
      </c>
      <c r="C49" s="3" t="n">
        <v>-0.5</v>
      </c>
      <c r="D49" s="4" t="n">
        <v>77603</v>
      </c>
      <c r="E49" s="4" t="n">
        <v>20341.25</v>
      </c>
      <c r="F49" s="5" t="n">
        <v>2.02</v>
      </c>
      <c r="G49" s="5" t="n">
        <v>7.5</v>
      </c>
      <c r="H49" s="6" t="inlineStr">
        <is>
          <t>待采集</t>
        </is>
      </c>
      <c r="I49" s="6" t="inlineStr">
        <is>
          <t>待采集</t>
        </is>
      </c>
      <c r="J49" s="6" t="inlineStr">
        <is>
          <t>待采集</t>
        </is>
      </c>
    </row>
    <row r="50">
      <c r="A50" s="2" t="inlineStr">
        <is>
          <t>202405</t>
        </is>
      </c>
      <c r="B50" s="3" t="n">
        <v>0.5</v>
      </c>
      <c r="C50" s="3" t="n">
        <v>-0.866025</v>
      </c>
      <c r="D50" s="4" t="n">
        <v>83053.5</v>
      </c>
      <c r="E50" s="4" t="n">
        <v>20913</v>
      </c>
      <c r="F50" s="5" t="n">
        <v>2.54</v>
      </c>
      <c r="G50" s="5" t="n">
        <v>7.2</v>
      </c>
      <c r="H50" s="6" t="inlineStr">
        <is>
          <t>待采集</t>
        </is>
      </c>
      <c r="I50" s="6" t="inlineStr">
        <is>
          <t>待采集</t>
        </is>
      </c>
      <c r="J50" s="6" t="inlineStr">
        <is>
          <t>待采集</t>
        </is>
      </c>
    </row>
    <row r="51">
      <c r="A51" s="2" t="inlineStr">
        <is>
          <t>202406</t>
        </is>
      </c>
      <c r="B51" s="3" t="n">
        <v>0</v>
      </c>
      <c r="C51" s="3" t="n">
        <v>-1</v>
      </c>
      <c r="D51" s="4" t="n">
        <v>79556.84</v>
      </c>
      <c r="E51" s="4" t="n">
        <v>20675.53</v>
      </c>
      <c r="F51" s="5" t="n">
        <v>3.07</v>
      </c>
      <c r="G51" s="5" t="n">
        <v>6.9</v>
      </c>
      <c r="H51" s="6" t="inlineStr">
        <is>
          <t>待采集</t>
        </is>
      </c>
      <c r="I51" s="6" t="inlineStr">
        <is>
          <t>待采集</t>
        </is>
      </c>
      <c r="J51" s="6" t="inlineStr">
        <is>
          <t>待采集</t>
        </is>
      </c>
    </row>
    <row r="52">
      <c r="A52" s="2" t="inlineStr">
        <is>
          <t>202407</t>
        </is>
      </c>
      <c r="B52" s="3" t="n">
        <v>-0.5</v>
      </c>
      <c r="C52" s="3" t="n">
        <v>-0.866025</v>
      </c>
      <c r="D52" s="4" t="n">
        <v>77490.87</v>
      </c>
      <c r="E52" s="4" t="n">
        <v>19814.35</v>
      </c>
      <c r="F52" s="5" t="n">
        <v>3.63</v>
      </c>
      <c r="G52" s="5" t="n">
        <v>6.6</v>
      </c>
      <c r="H52" s="6" t="inlineStr">
        <is>
          <t>待采集</t>
        </is>
      </c>
      <c r="I52" s="6" t="inlineStr">
        <is>
          <t>待采集</t>
        </is>
      </c>
      <c r="J52" s="6" t="inlineStr">
        <is>
          <t>待采集</t>
        </is>
      </c>
    </row>
    <row r="53">
      <c r="A53" s="2" t="inlineStr">
        <is>
          <t>202408</t>
        </is>
      </c>
      <c r="B53" s="3" t="n">
        <v>-0.866025</v>
      </c>
      <c r="C53" s="3" t="n">
        <v>-0.5</v>
      </c>
      <c r="D53" s="4" t="n">
        <v>73214.55</v>
      </c>
      <c r="E53" s="4" t="n">
        <v>19407.05</v>
      </c>
      <c r="F53" s="5" t="n">
        <v>4.2</v>
      </c>
      <c r="G53" s="5" t="n">
        <v>6.3</v>
      </c>
      <c r="H53" s="6" t="inlineStr">
        <is>
          <t>待采集</t>
        </is>
      </c>
      <c r="I53" s="6" t="inlineStr">
        <is>
          <t>待采集</t>
        </is>
      </c>
      <c r="J53" s="6" t="inlineStr">
        <is>
          <t>待采集</t>
        </is>
      </c>
    </row>
    <row r="54">
      <c r="A54" s="2" t="inlineStr">
        <is>
          <t>202409</t>
        </is>
      </c>
      <c r="B54" s="3" t="n">
        <v>-1</v>
      </c>
      <c r="C54" s="3" t="n">
        <v>-0</v>
      </c>
      <c r="D54" s="4" t="n">
        <v>74727.89</v>
      </c>
      <c r="E54" s="4" t="n">
        <v>19755.53</v>
      </c>
      <c r="F54" s="5" t="n">
        <v>4.74</v>
      </c>
      <c r="G54" s="5" t="n">
        <v>5.9</v>
      </c>
      <c r="H54" s="6" t="inlineStr">
        <is>
          <t>待采集</t>
        </is>
      </c>
      <c r="I54" s="6" t="inlineStr">
        <is>
          <t>待采集</t>
        </is>
      </c>
      <c r="J54" s="6" t="inlineStr">
        <is>
          <t>待采集</t>
        </is>
      </c>
    </row>
    <row r="55">
      <c r="A55" s="2" t="inlineStr">
        <is>
          <t>202410</t>
        </is>
      </c>
      <c r="B55" s="3" t="n">
        <v>-0.866025</v>
      </c>
      <c r="C55" s="3" t="n">
        <v>0.5</v>
      </c>
      <c r="D55" s="4" t="n">
        <v>76904.44</v>
      </c>
      <c r="E55" s="4" t="n">
        <v>20757.22</v>
      </c>
      <c r="F55" s="5" t="n">
        <v>5.27</v>
      </c>
      <c r="G55" s="5" t="n">
        <v>5.6</v>
      </c>
      <c r="H55" s="6" t="inlineStr">
        <is>
          <t>待采集</t>
        </is>
      </c>
      <c r="I55" s="6" t="inlineStr">
        <is>
          <t>待采集</t>
        </is>
      </c>
      <c r="J55" s="6" t="inlineStr">
        <is>
          <t>待采集</t>
        </is>
      </c>
    </row>
    <row r="56">
      <c r="A56" s="2" t="inlineStr">
        <is>
          <t>202411</t>
        </is>
      </c>
      <c r="B56" s="3" t="n">
        <v>-0.5</v>
      </c>
      <c r="C56" s="3" t="n">
        <v>0.866025</v>
      </c>
      <c r="D56" s="4" t="n">
        <v>75024.28999999999</v>
      </c>
      <c r="E56" s="4" t="n">
        <v>20789.52</v>
      </c>
      <c r="F56" s="5" t="n">
        <v>5.81</v>
      </c>
      <c r="G56" s="5" t="n">
        <v>5.3</v>
      </c>
      <c r="H56" s="6" t="inlineStr">
        <is>
          <t>待采集</t>
        </is>
      </c>
      <c r="I56" s="6" t="inlineStr">
        <is>
          <t>待采集</t>
        </is>
      </c>
      <c r="J56" s="6" t="inlineStr">
        <is>
          <t>待采集</t>
        </is>
      </c>
    </row>
    <row r="57">
      <c r="A57" s="2" t="inlineStr">
        <is>
          <t>202412</t>
        </is>
      </c>
      <c r="B57" s="3" t="n">
        <v>-0</v>
      </c>
      <c r="C57" s="3" t="n">
        <v>1</v>
      </c>
      <c r="D57" s="4" t="n">
        <v>74387.73</v>
      </c>
      <c r="E57" s="4" t="n">
        <v>20128.86</v>
      </c>
      <c r="F57" s="5" t="n">
        <v>6.39</v>
      </c>
      <c r="G57" s="5" t="n">
        <v>5.1</v>
      </c>
      <c r="H57" s="6" t="inlineStr">
        <is>
          <t>待采集</t>
        </is>
      </c>
      <c r="I57" s="6" t="inlineStr">
        <is>
          <t>待采集</t>
        </is>
      </c>
      <c r="J57" s="6" t="inlineStr">
        <is>
          <t>待采集</t>
        </is>
      </c>
    </row>
    <row r="58">
      <c r="A58" s="2" t="inlineStr">
        <is>
          <t>202501</t>
        </is>
      </c>
      <c r="B58" s="3" t="n">
        <v>0.5</v>
      </c>
      <c r="C58" s="3" t="n">
        <v>0.866025</v>
      </c>
      <c r="D58" s="4" t="n">
        <v>75058.89</v>
      </c>
      <c r="E58" s="4" t="n">
        <v>20127.78</v>
      </c>
      <c r="F58" s="5" t="n">
        <v/>
      </c>
      <c r="G58" s="5" t="n">
        <v/>
      </c>
      <c r="H58" s="6" t="inlineStr">
        <is>
          <t>待采集</t>
        </is>
      </c>
      <c r="I58" s="6" t="inlineStr">
        <is>
          <t>待采集</t>
        </is>
      </c>
      <c r="J58" s="6" t="inlineStr">
        <is>
          <t>待采集</t>
        </is>
      </c>
    </row>
    <row r="59">
      <c r="A59" s="2" t="inlineStr">
        <is>
          <t>202502</t>
        </is>
      </c>
      <c r="B59" s="3" t="n">
        <v>0.866025</v>
      </c>
      <c r="C59" s="3" t="n">
        <v>0.5</v>
      </c>
      <c r="D59" s="4" t="n">
        <v>77082.22</v>
      </c>
      <c r="E59" s="4" t="n">
        <v>20616.39</v>
      </c>
      <c r="F59" s="5" t="n">
        <v>0.96</v>
      </c>
      <c r="G59" s="5" t="n">
        <v>0.9</v>
      </c>
      <c r="H59" s="6" t="inlineStr">
        <is>
          <t>待采集</t>
        </is>
      </c>
      <c r="I59" s="6" t="inlineStr">
        <is>
          <t>待采集</t>
        </is>
      </c>
      <c r="J59" s="6" t="inlineStr">
        <is>
          <t>待采集</t>
        </is>
      </c>
    </row>
    <row r="60">
      <c r="A60" s="2" t="inlineStr">
        <is>
          <t>202503</t>
        </is>
      </c>
      <c r="B60" s="3" t="n">
        <v>1</v>
      </c>
      <c r="C60" s="3" t="n">
        <v>0</v>
      </c>
      <c r="D60" s="4" t="n">
        <v>79780.95</v>
      </c>
      <c r="E60" s="4" t="n">
        <v>20777.38</v>
      </c>
      <c r="F60" s="5" t="n">
        <v>1.52</v>
      </c>
      <c r="G60" s="5" t="n">
        <v>1.9</v>
      </c>
      <c r="H60" s="6" t="inlineStr">
        <is>
          <t>待采集</t>
        </is>
      </c>
      <c r="I60" s="6" t="inlineStr">
        <is>
          <t>待采集</t>
        </is>
      </c>
      <c r="J60" s="6" t="inlineStr">
        <is>
          <t>待采集</t>
        </is>
      </c>
    </row>
    <row r="61">
      <c r="A61" s="2" t="inlineStr">
        <is>
          <t>202504</t>
        </is>
      </c>
      <c r="B61" s="3" t="n">
        <v>0.866025</v>
      </c>
      <c r="C61" s="3" t="n">
        <v>-0.5</v>
      </c>
      <c r="D61" s="4" t="n">
        <v>76557.14</v>
      </c>
      <c r="E61" s="4" t="n">
        <v>19844.52</v>
      </c>
      <c r="F61" s="5" t="n">
        <v>2.05</v>
      </c>
      <c r="G61" s="5" t="n">
        <v>2.3</v>
      </c>
      <c r="H61" s="6" t="inlineStr">
        <is>
          <t>待采集</t>
        </is>
      </c>
      <c r="I61" s="6" t="inlineStr">
        <is>
          <t>待采集</t>
        </is>
      </c>
      <c r="J61" s="6" t="inlineStr">
        <is>
          <t>待采集</t>
        </is>
      </c>
    </row>
    <row r="62">
      <c r="A62" s="2" t="inlineStr">
        <is>
          <t>202505</t>
        </is>
      </c>
      <c r="B62" s="3" t="n">
        <v>0.5</v>
      </c>
      <c r="C62" s="3" t="n">
        <v>-0.866025</v>
      </c>
      <c r="D62" s="4" t="n">
        <v>77916.32000000001</v>
      </c>
      <c r="E62" s="4" t="n">
        <v>19999.74</v>
      </c>
      <c r="F62" s="5" t="n">
        <v>2.59</v>
      </c>
      <c r="G62" s="5" t="n">
        <v>2.2</v>
      </c>
      <c r="H62" s="6" t="inlineStr">
        <is>
          <t>待采集</t>
        </is>
      </c>
      <c r="I62" s="6" t="inlineStr">
        <is>
          <t>待采集</t>
        </is>
      </c>
      <c r="J62" s="6" t="inlineStr">
        <is>
          <t>待采集</t>
        </is>
      </c>
    </row>
    <row r="63">
      <c r="A63" s="2" t="inlineStr">
        <is>
          <t>202506</t>
        </is>
      </c>
      <c r="B63" s="3" t="n">
        <v>0</v>
      </c>
      <c r="C63" s="3" t="n">
        <v>-1</v>
      </c>
      <c r="D63" s="4" t="n">
        <v>78661</v>
      </c>
      <c r="E63" s="4" t="n">
        <v>20306.25</v>
      </c>
      <c r="F63" s="5" t="n">
        <v>3.15</v>
      </c>
      <c r="G63" s="5" t="n">
        <v>2.4</v>
      </c>
      <c r="H63" s="6" t="inlineStr">
        <is>
          <t>待采集</t>
        </is>
      </c>
      <c r="I63" s="6" t="inlineStr">
        <is>
          <t>待采集</t>
        </is>
      </c>
      <c r="J63" s="6" t="inlineStr">
        <is>
          <t>待采集</t>
        </is>
      </c>
    </row>
    <row r="64">
      <c r="A64" s="2" t="inlineStr">
        <is>
          <t>202507</t>
        </is>
      </c>
      <c r="B64" s="3" t="n">
        <v>-0.5</v>
      </c>
      <c r="C64" s="3" t="n">
        <v>-0.866025</v>
      </c>
      <c r="D64" s="4" t="n">
        <v>79108.25999999999</v>
      </c>
      <c r="E64" s="4" t="n">
        <v>20608.91</v>
      </c>
      <c r="F64" s="5" t="n">
        <v>3.74</v>
      </c>
      <c r="G64" s="5" t="n">
        <v>2.8</v>
      </c>
      <c r="H64" s="6" t="inlineStr">
        <is>
          <t>待采集</t>
        </is>
      </c>
      <c r="I64" s="6" t="inlineStr">
        <is>
          <t>待采集</t>
        </is>
      </c>
      <c r="J64" s="6" t="inlineStr">
        <is>
          <t>待采集</t>
        </is>
      </c>
    </row>
    <row r="65">
      <c r="A65" s="2" t="inlineStr">
        <is>
          <t>202508</t>
        </is>
      </c>
      <c r="B65" s="3" t="n">
        <v>-0.866025</v>
      </c>
      <c r="C65" s="3" t="n">
        <v>-0.5</v>
      </c>
      <c r="D65" s="4" t="n">
        <v>78858.10000000001</v>
      </c>
      <c r="E65" s="4" t="n">
        <v>20669.05</v>
      </c>
      <c r="F65" s="5" t="n">
        <v>4.34</v>
      </c>
      <c r="G65" s="5" t="n">
        <v>3.1</v>
      </c>
      <c r="H65" s="6" t="inlineStr">
        <is>
          <t>待采集</t>
        </is>
      </c>
      <c r="I65" s="6" t="inlineStr">
        <is>
          <t>待采集</t>
        </is>
      </c>
      <c r="J65" s="6" t="inlineStr">
        <is>
          <t>待采集</t>
        </is>
      </c>
    </row>
    <row r="66">
      <c r="A66" s="2" t="inlineStr">
        <is>
          <t>202509</t>
        </is>
      </c>
      <c r="B66" s="3" t="n">
        <v>-1</v>
      </c>
      <c r="C66" s="3" t="n">
        <v>-0</v>
      </c>
      <c r="D66" s="4" t="n">
        <v>80556.82000000001</v>
      </c>
      <c r="E66" s="4" t="n">
        <v>20784.32</v>
      </c>
      <c r="F66" s="5" t="n">
        <v>4.91</v>
      </c>
      <c r="G66" s="5" t="n">
        <v>3.4</v>
      </c>
      <c r="H66" s="6" t="inlineStr">
        <is>
          <t>待采集</t>
        </is>
      </c>
      <c r="I66" s="6" t="inlineStr">
        <is>
          <t>待采集</t>
        </is>
      </c>
      <c r="J66" s="6" t="inlineStr">
        <is>
          <t>待采集</t>
        </is>
      </c>
    </row>
    <row r="67">
      <c r="A67" s="2" t="inlineStr">
        <is>
          <t>202510</t>
        </is>
      </c>
      <c r="B67" s="3" t="n">
        <v>-0.866025</v>
      </c>
      <c r="C67" s="3" t="n">
        <v>0.5</v>
      </c>
      <c r="D67" s="4" t="n">
        <v>86265.88</v>
      </c>
      <c r="E67" s="4" t="n">
        <v>21077.65</v>
      </c>
      <c r="F67" s="5" t="n">
        <v>5.48</v>
      </c>
      <c r="G67" s="5" t="n">
        <v>3.7</v>
      </c>
      <c r="H67" s="6" t="inlineStr">
        <is>
          <t>待采集</t>
        </is>
      </c>
      <c r="I67" s="6" t="inlineStr">
        <is>
          <t>待采集</t>
        </is>
      </c>
      <c r="J67" s="6" t="inlineStr">
        <is>
          <t>待采集</t>
        </is>
      </c>
    </row>
    <row r="68">
      <c r="A68" s="2" t="inlineStr">
        <is>
          <t>202511</t>
        </is>
      </c>
      <c r="B68" s="3" t="n">
        <v>-0.5</v>
      </c>
      <c r="C68" s="3" t="n">
        <v>0.866025</v>
      </c>
      <c r="D68" s="4" t="n">
        <v>86453</v>
      </c>
      <c r="E68" s="4" t="n">
        <v>21599.5</v>
      </c>
      <c r="F68" s="5" t="n">
        <v>6.04</v>
      </c>
      <c r="G68" s="5" t="n">
        <v>3.7</v>
      </c>
      <c r="H68" s="6" t="inlineStr">
        <is>
          <t>待采集</t>
        </is>
      </c>
      <c r="I68" s="6" t="inlineStr">
        <is>
          <t>待采集</t>
        </is>
      </c>
      <c r="J68" s="6" t="inlineStr">
        <is>
          <t>待采集</t>
        </is>
      </c>
    </row>
    <row r="69">
      <c r="A69" s="2" t="inlineStr">
        <is>
          <t>202512</t>
        </is>
      </c>
      <c r="B69" s="3" t="n">
        <v>-0</v>
      </c>
      <c r="C69" s="3" t="n">
        <v>1</v>
      </c>
      <c r="D69" s="4" t="n">
        <v>93523.48</v>
      </c>
      <c r="E69" s="4" t="n">
        <v>22164.57</v>
      </c>
      <c r="F69" s="5" t="n">
        <v>6.64</v>
      </c>
      <c r="G69" s="5" t="n">
        <v>3.7</v>
      </c>
      <c r="H69" s="6" t="inlineStr">
        <is>
          <t>待采集</t>
        </is>
      </c>
      <c r="I69" s="6" t="inlineStr">
        <is>
          <t>待采集</t>
        </is>
      </c>
      <c r="J69" s="6" t="inlineStr">
        <is>
          <t>待采集</t>
        </is>
      </c>
    </row>
    <row r="70">
      <c r="A70" s="2" t="inlineStr">
        <is>
          <t>202601</t>
        </is>
      </c>
      <c r="B70" s="3" t="n">
        <v>0.5</v>
      </c>
      <c r="C70" s="3" t="n">
        <v>0.866025</v>
      </c>
      <c r="D70" s="4" t="n">
        <v>102655</v>
      </c>
      <c r="E70" s="4" t="n">
        <v>24368.5</v>
      </c>
      <c r="F70" s="5" t="n">
        <v/>
      </c>
      <c r="G70" s="5" t="n">
        <v/>
      </c>
      <c r="H70" s="6" t="inlineStr">
        <is>
          <t>待采集</t>
        </is>
      </c>
      <c r="I70" s="6" t="inlineStr">
        <is>
          <t>待采集</t>
        </is>
      </c>
      <c r="J70" s="6" t="inlineStr">
        <is>
          <t>待采集</t>
        </is>
      </c>
    </row>
    <row r="71">
      <c r="A71" s="2" t="inlineStr">
        <is>
          <t>202602</t>
        </is>
      </c>
      <c r="B71" s="3" t="n">
        <v>0.866025</v>
      </c>
      <c r="C71" s="3" t="n">
        <v>0.5</v>
      </c>
      <c r="D71" s="4" t="n">
        <v>102082.14</v>
      </c>
      <c r="E71" s="4" t="n">
        <v>23605.36</v>
      </c>
      <c r="F71" s="5" t="n">
        <v>1.03</v>
      </c>
      <c r="G71" s="5" t="n">
        <v>6.3</v>
      </c>
      <c r="H71" s="6" t="inlineStr">
        <is>
          <t>待采集</t>
        </is>
      </c>
      <c r="I71" s="6" t="inlineStr">
        <is>
          <t>待采集</t>
        </is>
      </c>
      <c r="J71" s="6" t="inlineStr">
        <is>
          <t>待采集</t>
        </is>
      </c>
    </row>
    <row r="72">
      <c r="A72" s="2" t="inlineStr">
        <is>
          <t>202603</t>
        </is>
      </c>
      <c r="B72" s="3" t="n">
        <v>1</v>
      </c>
      <c r="C72" s="3" t="n">
        <v>0</v>
      </c>
      <c r="D72" s="4" t="n">
        <v>98402.27</v>
      </c>
      <c r="E72" s="4" t="n">
        <v>24540.23</v>
      </c>
      <c r="F72" s="5" t="n">
        <v>1.6</v>
      </c>
      <c r="G72" s="5" t="n">
        <v>4.7</v>
      </c>
      <c r="H72" s="6" t="inlineStr">
        <is>
          <t>待采集</t>
        </is>
      </c>
      <c r="I72" s="6" t="inlineStr">
        <is>
          <t>待采集</t>
        </is>
      </c>
      <c r="J72" s="6" t="inlineStr">
        <is>
          <t>待采集</t>
        </is>
      </c>
    </row>
    <row r="73">
      <c r="A73" s="2" t="inlineStr">
        <is>
          <t>202604</t>
        </is>
      </c>
      <c r="B73" s="3" t="n">
        <v>0.866025</v>
      </c>
      <c r="C73" s="3" t="n">
        <v>-0.5</v>
      </c>
      <c r="D73" s="4" t="n">
        <v>100404.29</v>
      </c>
      <c r="E73" s="4" t="n">
        <v>24855.95</v>
      </c>
      <c r="F73" s="5" t="n">
        <v>2.16</v>
      </c>
      <c r="G73" s="5" t="n">
        <v>4.9</v>
      </c>
      <c r="H73" s="6" t="inlineStr">
        <is>
          <t>待采集</t>
        </is>
      </c>
      <c r="I73" s="6" t="inlineStr">
        <is>
          <t>待采集</t>
        </is>
      </c>
      <c r="J73" s="6" t="inlineStr">
        <is>
          <t>待采集</t>
        </is>
      </c>
    </row>
    <row r="74">
      <c r="A74" s="2" t="inlineStr">
        <is>
          <t>202605</t>
        </is>
      </c>
      <c r="B74" s="3" t="n">
        <v>0.5</v>
      </c>
      <c r="C74" s="3" t="n">
        <v>-0.866025</v>
      </c>
      <c r="D74" s="4" t="n">
        <v>104861.11</v>
      </c>
      <c r="E74" s="4" t="n">
        <v>24488.61</v>
      </c>
      <c r="F74" s="5" t="n">
        <v/>
      </c>
      <c r="G74" s="5" t="n">
        <v/>
      </c>
      <c r="H74" s="6" t="inlineStr">
        <is>
          <t>待采集</t>
        </is>
      </c>
      <c r="I74" s="6" t="inlineStr">
        <is>
          <t>待采集</t>
        </is>
      </c>
      <c r="J74" s="6" t="inlineStr">
        <is>
          <t>待采集</t>
        </is>
      </c>
    </row>
    <row r="75">
      <c r="A75" s="2" t="inlineStr">
        <is>
          <t>202606</t>
        </is>
      </c>
      <c r="B75" s="3" t="n">
        <v>0</v>
      </c>
      <c r="C75" s="3" t="n">
        <v>-1</v>
      </c>
      <c r="D75" s="4" t="n">
        <v>104312.86</v>
      </c>
      <c r="E75" s="4" t="n">
        <v>23865.71</v>
      </c>
      <c r="F75" s="5" t="n">
        <v/>
      </c>
      <c r="G75" s="5" t="n">
        <v/>
      </c>
      <c r="H75" s="6" t="inlineStr">
        <is>
          <t>待采集</t>
        </is>
      </c>
      <c r="I75" s="6" t="inlineStr">
        <is>
          <t>待采集</t>
        </is>
      </c>
      <c r="J75" s="6" t="inlineStr">
        <is>
          <t>待采集</t>
        </is>
      </c>
    </row>
  </sheetData>
  <autoFilter ref="A1:J7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7" t="inlineStr">
        <is>
          <t>外部影响因子数据说明</t>
        </is>
      </c>
    </row>
    <row r="2">
      <c r="A2" t="inlineStr"/>
    </row>
    <row r="3">
      <c r="A3" t="inlineStr">
        <is>
          <t>数据范围: 2020-05 ~ 2026-06 (74个自然月)</t>
        </is>
      </c>
    </row>
    <row r="4">
      <c r="A4" t="inlineStr">
        <is>
          <t>生成日期: 2026-07-05</t>
        </is>
      </c>
    </row>
    <row r="5">
      <c r="A5" t="inlineStr"/>
    </row>
    <row r="6">
      <c r="A6" s="8">
        <f>== 已完成 ===</f>
        <v/>
      </c>
    </row>
    <row r="7">
      <c r="A7" t="inlineStr">
        <is>
          <t>STF (季节时间因子): month_sin = sin(month×2π/12), month_cos = cos(month×2π/12)</t>
        </is>
      </c>
    </row>
    <row r="8">
      <c r="A8" t="inlineStr">
        <is>
          <t>RMPF (原材料价格因子): 上海期货交易所(SHFE)铜(CU0)/铝(AL0)期货主力合约日收盘价月均值</t>
        </is>
      </c>
    </row>
    <row r="9">
      <c r="A9" t="inlineStr">
        <is>
          <t xml:space="preserve">  数据来源: AKShare → futures_zh_daily_sina</t>
        </is>
      </c>
    </row>
    <row r="10">
      <c r="A10" t="inlineStr">
        <is>
          <t>IEDF (工业用电需求因子): 全国第二产业用电量月度数据及同比增速</t>
        </is>
      </c>
    </row>
    <row r="11">
      <c r="A11" t="inlineStr">
        <is>
          <t xml:space="preserve">  数据来源: AKShare → macro_china_society_electricity (原始数据来自国家能源局)</t>
        </is>
      </c>
    </row>
    <row r="12">
      <c r="A12" t="inlineStr"/>
    </row>
    <row r="13">
      <c r="A13" s="8">
        <f>== 待采集 ===</f>
        <v/>
      </c>
    </row>
    <row r="14">
      <c r="A14" t="inlineStr">
        <is>
          <t>GIDF (电网投资驱动因子): 全国电网基建投资完成额月度数据</t>
        </is>
      </c>
    </row>
    <row r="15">
      <c r="A15" t="inlineStr">
        <is>
          <t xml:space="preserve">  数据来源: 中电联《全国电力工业统计数据》月报, 需从新闻通稿手动整理</t>
        </is>
      </c>
    </row>
    <row r="16">
      <c r="A16" t="inlineStr">
        <is>
          <t>NEIF (新能源并网容量因子): 风电/光伏新增装机容量</t>
        </is>
      </c>
    </row>
    <row r="17">
      <c r="A17" t="inlineStr">
        <is>
          <t xml:space="preserve">  数据来源: 国家能源局季度可再生能源并网运行情况, 需从季报通稿手动整理</t>
        </is>
      </c>
    </row>
    <row r="18">
      <c r="A18" t="inlineStr"/>
    </row>
    <row r="19">
      <c r="A19" s="8">
        <f>== 缺失值处理 ===</f>
        <v/>
      </c>
    </row>
    <row r="20">
      <c r="A20" t="inlineStr">
        <is>
          <t>RMPF: 期货交易日的缺失月份使用前向填充(ffill)</t>
        </is>
      </c>
    </row>
    <row r="21">
      <c r="A21" t="inlineStr">
        <is>
          <t>IEDF: 2020年1-9月的部分月份在原始数据中缺失(API仅返回约66个月)</t>
        </is>
      </c>
    </row>
    <row r="22">
      <c r="A22" t="inlineStr">
        <is>
          <t>GIDF/NEIF: 标记为'待采集', 数据需后续手动补充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2026-07-05T15:41:08Z</dcterms:created>
  <dcterms:modified xmlns:dcterms="http://purl.org/dc/terms/" xmlns:xsi="http://www.w3.org/2001/XMLSchema-instance" xsi:type="dcterms:W3CDTF">2026-07-05T15:41:08Z</dcterms:modified>
</cp:coreProperties>
</file>